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OSG_Mail4\"/>
    </mc:Choice>
  </mc:AlternateContent>
  <bookViews>
    <workbookView xWindow="0" yWindow="0" windowWidth="34530" windowHeight="228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D14" i="1" s="1"/>
  <c r="F7" i="1"/>
  <c r="F13" i="1" s="1"/>
</calcChain>
</file>

<file path=xl/sharedStrings.xml><?xml version="1.0" encoding="utf-8"?>
<sst xmlns="http://schemas.openxmlformats.org/spreadsheetml/2006/main" count="11" uniqueCount="11">
  <si>
    <t>4남 저녁식사 교제 (소떼마을, 상품권 사용)</t>
    <phoneticPr fontId="2" type="noConversion"/>
  </si>
  <si>
    <t>4남 저녁식사 교제 (스타벅스)</t>
    <phoneticPr fontId="2" type="noConversion"/>
  </si>
  <si>
    <t>수입</t>
    <phoneticPr fontId="2" type="noConversion"/>
  </si>
  <si>
    <t>지출</t>
    <phoneticPr fontId="2" type="noConversion"/>
  </si>
  <si>
    <t>합계 (①)</t>
    <phoneticPr fontId="2" type="noConversion"/>
  </si>
  <si>
    <t>합계 (②)</t>
    <phoneticPr fontId="2" type="noConversion"/>
  </si>
  <si>
    <t>잔액 (① - ②)</t>
    <phoneticPr fontId="2" type="noConversion"/>
  </si>
  <si>
    <t>2025-2026년 열린하늘문교회 4남 전도회비</t>
    <phoneticPr fontId="2" type="noConversion"/>
  </si>
  <si>
    <t>4남 회비 이월</t>
    <phoneticPr fontId="2" type="noConversion"/>
  </si>
  <si>
    <t>4남5남 성탄전야제 준비 회의 (스타벅스 6명)</t>
    <phoneticPr fontId="2" type="noConversion"/>
  </si>
  <si>
    <t>4남5남 성탄전야제 산타 선물 구입 (트레이더스)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</si>
</sst>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mm&quot;월&quot;\ dd&quot;일&quot;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76" fontId="0" fillId="0" borderId="1" xfId="0" applyNumberFormat="1" applyBorder="1">
      <alignment vertical="center"/>
    </xf>
    <xf numFmtId="41" fontId="0" fillId="0" borderId="1" xfId="1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41" fontId="0" fillId="0" borderId="1" xfId="0" applyNumberFormat="1" applyBorder="1">
      <alignment vertical="center"/>
    </xf>
    <xf numFmtId="41" fontId="3" fillId="3" borderId="1" xfId="0" applyNumberFormat="1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4"/>
  <sheetViews>
    <sheetView tabSelected="1" workbookViewId="0">
      <selection activeCell="G7" sqref="G7"/>
    </sheetView>
  </sheetViews>
  <sheetFormatPr defaultRowHeight="18" customHeight="1" x14ac:dyDescent="0.3"/>
  <cols>
    <col min="2" max="2" width="9.875" bestFit="1" customWidth="1"/>
    <col min="3" max="3" width="9.875" customWidth="1"/>
    <col min="4" max="4" width="37.25" customWidth="1"/>
    <col min="5" max="5" width="9.875" bestFit="1" customWidth="1"/>
    <col min="7" max="7" width="41.875" customWidth="1"/>
  </cols>
  <sheetData>
    <row r="2" spans="2:7" ht="33" customHeight="1" x14ac:dyDescent="0.3">
      <c r="B2" s="13" t="s">
        <v>7</v>
      </c>
      <c r="C2" s="13"/>
      <c r="D2" s="13"/>
      <c r="E2" s="13"/>
      <c r="F2" s="13"/>
      <c r="G2" s="13"/>
    </row>
    <row r="3" spans="2:7" ht="18" customHeight="1" x14ac:dyDescent="0.3">
      <c r="B3" s="7" t="s">
        <v>2</v>
      </c>
      <c r="C3" s="7"/>
      <c r="D3" s="7"/>
      <c r="E3" s="8" t="s">
        <v>3</v>
      </c>
      <c r="F3" s="8"/>
      <c r="G3" s="8"/>
    </row>
    <row r="4" spans="2:7" ht="18" customHeight="1" x14ac:dyDescent="0.3">
      <c r="B4" s="1">
        <v>45991</v>
      </c>
      <c r="C4" s="2">
        <v>1096975</v>
      </c>
      <c r="D4" s="3" t="s">
        <v>8</v>
      </c>
      <c r="E4" s="1">
        <v>45998</v>
      </c>
      <c r="F4" s="2">
        <v>32600</v>
      </c>
      <c r="G4" s="3" t="s">
        <v>9</v>
      </c>
    </row>
    <row r="5" spans="2:7" ht="18" customHeight="1" x14ac:dyDescent="0.3">
      <c r="B5" s="3"/>
      <c r="C5" s="3"/>
      <c r="D5" s="3"/>
      <c r="E5" s="1">
        <v>46011</v>
      </c>
      <c r="F5" s="2">
        <v>179480</v>
      </c>
      <c r="G5" s="3" t="s">
        <v>10</v>
      </c>
    </row>
    <row r="6" spans="2:7" ht="18" customHeight="1" x14ac:dyDescent="0.3">
      <c r="B6" s="3"/>
      <c r="C6" s="3"/>
      <c r="D6" s="3"/>
      <c r="E6" s="1">
        <v>46012</v>
      </c>
      <c r="F6" s="2">
        <v>0</v>
      </c>
      <c r="G6" s="3" t="s">
        <v>0</v>
      </c>
    </row>
    <row r="7" spans="2:7" ht="18" customHeight="1" x14ac:dyDescent="0.3">
      <c r="B7" s="3"/>
      <c r="C7" s="3"/>
      <c r="D7" s="3"/>
      <c r="E7" s="1">
        <v>46012</v>
      </c>
      <c r="F7" s="2">
        <f>30900+20000</f>
        <v>50900</v>
      </c>
      <c r="G7" s="3" t="s">
        <v>1</v>
      </c>
    </row>
    <row r="8" spans="2:7" ht="18" customHeight="1" x14ac:dyDescent="0.3">
      <c r="B8" s="3"/>
      <c r="C8" s="3"/>
      <c r="D8" s="3"/>
      <c r="E8" s="3"/>
      <c r="F8" s="3"/>
      <c r="G8" s="3"/>
    </row>
    <row r="9" spans="2:7" ht="18" customHeight="1" x14ac:dyDescent="0.3">
      <c r="B9" s="3"/>
      <c r="C9" s="3"/>
      <c r="D9" s="3"/>
      <c r="E9" s="3"/>
      <c r="F9" s="3"/>
      <c r="G9" s="3"/>
    </row>
    <row r="10" spans="2:7" ht="18" customHeight="1" x14ac:dyDescent="0.3">
      <c r="B10" s="3"/>
      <c r="C10" s="3"/>
      <c r="D10" s="3"/>
      <c r="E10" s="3"/>
      <c r="F10" s="3"/>
      <c r="G10" s="3"/>
    </row>
    <row r="11" spans="2:7" ht="18" customHeight="1" x14ac:dyDescent="0.3">
      <c r="B11" s="3"/>
      <c r="C11" s="3"/>
      <c r="D11" s="3"/>
      <c r="E11" s="3"/>
      <c r="F11" s="3"/>
      <c r="G11" s="3"/>
    </row>
    <row r="12" spans="2:7" ht="18" customHeight="1" x14ac:dyDescent="0.3">
      <c r="B12" s="3"/>
      <c r="C12" s="3"/>
      <c r="D12" s="3"/>
      <c r="E12" s="3"/>
      <c r="F12" s="3"/>
      <c r="G12" s="3"/>
    </row>
    <row r="13" spans="2:7" ht="18" customHeight="1" x14ac:dyDescent="0.3">
      <c r="B13" s="4" t="s">
        <v>4</v>
      </c>
      <c r="C13" s="5">
        <f>SUM(C4:C12)</f>
        <v>1096975</v>
      </c>
      <c r="D13" s="3"/>
      <c r="E13" s="4" t="s">
        <v>5</v>
      </c>
      <c r="F13" s="5">
        <f>SUM(F4:F12)</f>
        <v>262980</v>
      </c>
      <c r="G13" s="3"/>
    </row>
    <row r="14" spans="2:7" ht="24.75" customHeight="1" x14ac:dyDescent="0.3">
      <c r="B14" s="9" t="s">
        <v>6</v>
      </c>
      <c r="C14" s="9"/>
      <c r="D14" s="6">
        <f>C13-F13</f>
        <v>833995</v>
      </c>
      <c r="E14" s="10"/>
      <c r="F14" s="11"/>
      <c r="G14" s="12"/>
    </row>
  </sheetData>
  <mergeCells count="5">
    <mergeCell ref="B3:D3"/>
    <mergeCell ref="E3:G3"/>
    <mergeCell ref="B14:C14"/>
    <mergeCell ref="E14:G14"/>
    <mergeCell ref="B2:G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zstar</dc:creator>
  <cp:lastModifiedBy>zstar</cp:lastModifiedBy>
  <dcterms:created xsi:type="dcterms:W3CDTF">2025-12-21T10:48:46Z</dcterms:created>
  <dcterms:modified xsi:type="dcterms:W3CDTF">2025-12-21T11:23:23Z</dcterms:modified>
</cp:coreProperties>
</file>